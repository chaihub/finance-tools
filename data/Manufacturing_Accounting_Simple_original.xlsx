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chai\chaihub\finance-tools\data\"/>
    </mc:Choice>
  </mc:AlternateContent>
  <xr:revisionPtr revIDLastSave="0" documentId="13_ncr:1_{88853E85-9A8F-4BAA-86AA-0524304D0D9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hart_of_Accounts" sheetId="1" r:id="rId1"/>
    <sheet name="General_Ledger" sheetId="2" r:id="rId2"/>
    <sheet name="Trial_Balance" sheetId="3" r:id="rId3"/>
    <sheet name="Income_Statement" sheetId="4" r:id="rId4"/>
    <sheet name="Balance_Shee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5" l="1"/>
  <c r="B4" i="5"/>
  <c r="D3" i="5"/>
  <c r="B3" i="5"/>
  <c r="D2" i="5"/>
  <c r="B2" i="5"/>
  <c r="B5" i="4"/>
  <c r="B4" i="4"/>
  <c r="B6" i="4" s="1"/>
  <c r="B3" i="4"/>
  <c r="B2" i="4"/>
</calcChain>
</file>

<file path=xl/sharedStrings.xml><?xml version="1.0" encoding="utf-8"?>
<sst xmlns="http://schemas.openxmlformats.org/spreadsheetml/2006/main" count="82" uniqueCount="48">
  <si>
    <t>Account Code</t>
  </si>
  <si>
    <t>Account Name</t>
  </si>
  <si>
    <t>Type</t>
  </si>
  <si>
    <t>Cash at Bank</t>
  </si>
  <si>
    <t>Asset</t>
  </si>
  <si>
    <t>Accounts Receivable</t>
  </si>
  <si>
    <t>Inventory</t>
  </si>
  <si>
    <t>Plant &amp; Machinery</t>
  </si>
  <si>
    <t>Accounts Payable</t>
  </si>
  <si>
    <t>Liability</t>
  </si>
  <si>
    <t>Equity Share Capital</t>
  </si>
  <si>
    <t>Equity</t>
  </si>
  <si>
    <t>Retained Earnings</t>
  </si>
  <si>
    <t>Sales Revenue</t>
  </si>
  <si>
    <t>Revenue</t>
  </si>
  <si>
    <t>Cost of Goods Sold</t>
  </si>
  <si>
    <t>Expense</t>
  </si>
  <si>
    <t>Salaries Expense</t>
  </si>
  <si>
    <t>Rent Expense</t>
  </si>
  <si>
    <t>Date</t>
  </si>
  <si>
    <t>Voucher</t>
  </si>
  <si>
    <t>Debit</t>
  </si>
  <si>
    <t>Credit</t>
  </si>
  <si>
    <t>Description</t>
  </si>
  <si>
    <t>2025-04-01</t>
  </si>
  <si>
    <t>JV-001</t>
  </si>
  <si>
    <t>Capital introduced</t>
  </si>
  <si>
    <t>Share capital</t>
  </si>
  <si>
    <t>2025-04-05</t>
  </si>
  <si>
    <t>PV-001</t>
  </si>
  <si>
    <t>Raw material purchase</t>
  </si>
  <si>
    <t>Payable to supplier</t>
  </si>
  <si>
    <t>2025-04-15</t>
  </si>
  <si>
    <t>SV-001</t>
  </si>
  <si>
    <t>Finished goods sale</t>
  </si>
  <si>
    <t>Sales revenue</t>
  </si>
  <si>
    <t>2025-04-30</t>
  </si>
  <si>
    <t>JV-002</t>
  </si>
  <si>
    <t>COGS</t>
  </si>
  <si>
    <t>Inventory consumption</t>
  </si>
  <si>
    <t>JV-003</t>
  </si>
  <si>
    <t>Salaries</t>
  </si>
  <si>
    <t>Salary payment</t>
  </si>
  <si>
    <t>Amount</t>
  </si>
  <si>
    <t>Gross Profit</t>
  </si>
  <si>
    <t>Net Profit</t>
  </si>
  <si>
    <t>Assets</t>
  </si>
  <si>
    <t>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</si>
</sst>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C1" sqref="A1:C1"/>
    </sheetView>
  </sheetViews>
  <sheetFormatPr defaultRowHeight="14.4" x14ac:dyDescent="0.3"/>
  <cols>
    <col min="1" max="1" width="12.33203125" bestFit="1" customWidth="1"/>
    <col min="2" max="2" width="17.8867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1000</v>
      </c>
      <c r="B2" s="1" t="s">
        <v>3</v>
      </c>
      <c r="C2" s="1" t="s">
        <v>4</v>
      </c>
    </row>
    <row r="3" spans="1:3" x14ac:dyDescent="0.3">
      <c r="A3" s="1">
        <v>1100</v>
      </c>
      <c r="B3" s="1" t="s">
        <v>5</v>
      </c>
      <c r="C3" s="1" t="s">
        <v>4</v>
      </c>
    </row>
    <row r="4" spans="1:3" x14ac:dyDescent="0.3">
      <c r="A4" s="1">
        <v>1200</v>
      </c>
      <c r="B4" s="1" t="s">
        <v>6</v>
      </c>
      <c r="C4" s="1" t="s">
        <v>4</v>
      </c>
    </row>
    <row r="5" spans="1:3" x14ac:dyDescent="0.3">
      <c r="A5" s="1">
        <v>1500</v>
      </c>
      <c r="B5" s="1" t="s">
        <v>7</v>
      </c>
      <c r="C5" s="1" t="s">
        <v>4</v>
      </c>
    </row>
    <row r="6" spans="1:3" x14ac:dyDescent="0.3">
      <c r="A6" s="1">
        <v>2000</v>
      </c>
      <c r="B6" s="1" t="s">
        <v>8</v>
      </c>
      <c r="C6" s="1" t="s">
        <v>9</v>
      </c>
    </row>
    <row r="7" spans="1:3" x14ac:dyDescent="0.3">
      <c r="A7" s="1">
        <v>3000</v>
      </c>
      <c r="B7" s="1" t="s">
        <v>10</v>
      </c>
      <c r="C7" s="1" t="s">
        <v>11</v>
      </c>
    </row>
    <row r="8" spans="1:3" x14ac:dyDescent="0.3">
      <c r="A8" s="1">
        <v>3100</v>
      </c>
      <c r="B8" s="1" t="s">
        <v>12</v>
      </c>
      <c r="C8" s="1" t="s">
        <v>11</v>
      </c>
    </row>
    <row r="9" spans="1:3" x14ac:dyDescent="0.3">
      <c r="A9" s="1">
        <v>4000</v>
      </c>
      <c r="B9" s="1" t="s">
        <v>13</v>
      </c>
      <c r="C9" s="1" t="s">
        <v>14</v>
      </c>
    </row>
    <row r="10" spans="1:3" x14ac:dyDescent="0.3">
      <c r="A10" s="1">
        <v>5000</v>
      </c>
      <c r="B10" s="1" t="s">
        <v>15</v>
      </c>
      <c r="C10" s="1" t="s">
        <v>16</v>
      </c>
    </row>
    <row r="11" spans="1:3" x14ac:dyDescent="0.3">
      <c r="A11" s="1">
        <v>5100</v>
      </c>
      <c r="B11" s="1" t="s">
        <v>17</v>
      </c>
      <c r="C11" s="1" t="s">
        <v>16</v>
      </c>
    </row>
    <row r="12" spans="1:3" x14ac:dyDescent="0.3">
      <c r="A12" s="1">
        <v>5200</v>
      </c>
      <c r="B12" s="1" t="s">
        <v>18</v>
      </c>
      <c r="C12" s="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sqref="A1:F1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2.33203125" bestFit="1" customWidth="1"/>
    <col min="6" max="6" width="20" bestFit="1" customWidth="1"/>
  </cols>
  <sheetData>
    <row r="1" spans="1:6" x14ac:dyDescent="0.3">
      <c r="A1" s="2" t="s">
        <v>19</v>
      </c>
      <c r="B1" s="2" t="s">
        <v>20</v>
      </c>
      <c r="C1" s="2" t="s">
        <v>0</v>
      </c>
      <c r="D1" s="2" t="s">
        <v>21</v>
      </c>
      <c r="E1" s="2" t="s">
        <v>22</v>
      </c>
      <c r="F1" s="2" t="s">
        <v>23</v>
      </c>
    </row>
    <row r="2" spans="1:6" x14ac:dyDescent="0.3">
      <c r="A2" s="1" t="s">
        <v>24</v>
      </c>
      <c r="B2" s="1" t="s">
        <v>25</v>
      </c>
      <c r="C2" s="1">
        <v>1000</v>
      </c>
      <c r="D2" s="1">
        <v>2000000</v>
      </c>
      <c r="E2" s="1">
        <v>0</v>
      </c>
      <c r="F2" s="1" t="s">
        <v>26</v>
      </c>
    </row>
    <row r="3" spans="1:6" x14ac:dyDescent="0.3">
      <c r="A3" s="1" t="s">
        <v>24</v>
      </c>
      <c r="B3" s="1" t="s">
        <v>25</v>
      </c>
      <c r="C3" s="1">
        <v>3000</v>
      </c>
      <c r="D3" s="1">
        <v>0</v>
      </c>
      <c r="E3" s="1">
        <v>2000000</v>
      </c>
      <c r="F3" s="1" t="s">
        <v>27</v>
      </c>
    </row>
    <row r="4" spans="1:6" x14ac:dyDescent="0.3">
      <c r="A4" s="1" t="s">
        <v>28</v>
      </c>
      <c r="B4" s="1" t="s">
        <v>29</v>
      </c>
      <c r="C4" s="1">
        <v>1200</v>
      </c>
      <c r="D4" s="1">
        <v>500000</v>
      </c>
      <c r="E4" s="1"/>
      <c r="F4" s="1" t="s">
        <v>30</v>
      </c>
    </row>
    <row r="5" spans="1:6" x14ac:dyDescent="0.3">
      <c r="A5" s="1" t="s">
        <v>28</v>
      </c>
      <c r="B5" s="1" t="s">
        <v>29</v>
      </c>
      <c r="C5" s="1">
        <v>2000</v>
      </c>
      <c r="D5" s="1"/>
      <c r="E5" s="1">
        <v>500000</v>
      </c>
      <c r="F5" s="1" t="s">
        <v>31</v>
      </c>
    </row>
    <row r="6" spans="1:6" x14ac:dyDescent="0.3">
      <c r="A6" s="1" t="s">
        <v>32</v>
      </c>
      <c r="B6" s="1" t="s">
        <v>33</v>
      </c>
      <c r="C6" s="1">
        <v>1100</v>
      </c>
      <c r="D6" s="1">
        <v>800000</v>
      </c>
      <c r="E6" s="1"/>
      <c r="F6" s="1" t="s">
        <v>34</v>
      </c>
    </row>
    <row r="7" spans="1:6" x14ac:dyDescent="0.3">
      <c r="A7" s="1" t="s">
        <v>32</v>
      </c>
      <c r="B7" s="1" t="s">
        <v>33</v>
      </c>
      <c r="C7" s="1">
        <v>4000</v>
      </c>
      <c r="D7" s="1"/>
      <c r="E7" s="1">
        <v>800000</v>
      </c>
      <c r="F7" s="1" t="s">
        <v>35</v>
      </c>
    </row>
    <row r="8" spans="1:6" x14ac:dyDescent="0.3">
      <c r="A8" s="1" t="s">
        <v>36</v>
      </c>
      <c r="B8" s="1" t="s">
        <v>37</v>
      </c>
      <c r="C8" s="1">
        <v>5000</v>
      </c>
      <c r="D8" s="1">
        <v>350000</v>
      </c>
      <c r="E8" s="1">
        <v>0</v>
      </c>
      <c r="F8" s="1" t="s">
        <v>38</v>
      </c>
    </row>
    <row r="9" spans="1:6" x14ac:dyDescent="0.3">
      <c r="A9" s="1" t="s">
        <v>36</v>
      </c>
      <c r="B9" s="1" t="s">
        <v>37</v>
      </c>
      <c r="C9" s="1">
        <v>1200</v>
      </c>
      <c r="D9" s="1">
        <v>0</v>
      </c>
      <c r="E9" s="1">
        <v>350000</v>
      </c>
      <c r="F9" s="1" t="s">
        <v>39</v>
      </c>
    </row>
    <row r="10" spans="1:6" x14ac:dyDescent="0.3">
      <c r="A10" s="1" t="s">
        <v>36</v>
      </c>
      <c r="B10" s="1" t="s">
        <v>40</v>
      </c>
      <c r="C10" s="1">
        <v>5100</v>
      </c>
      <c r="D10" s="1">
        <v>150000</v>
      </c>
      <c r="E10" s="1">
        <v>0</v>
      </c>
      <c r="F10" s="1" t="s">
        <v>41</v>
      </c>
    </row>
    <row r="11" spans="1:6" x14ac:dyDescent="0.3">
      <c r="A11" s="1" t="s">
        <v>36</v>
      </c>
      <c r="B11" s="1" t="s">
        <v>40</v>
      </c>
      <c r="C11" s="1">
        <v>1000</v>
      </c>
      <c r="D11" s="1">
        <v>0</v>
      </c>
      <c r="E11" s="1">
        <v>150000</v>
      </c>
      <c r="F11" s="1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selection sqref="A1:D1"/>
    </sheetView>
  </sheetViews>
  <sheetFormatPr defaultRowHeight="14.4" x14ac:dyDescent="0.3"/>
  <cols>
    <col min="1" max="1" width="12.33203125" bestFit="1" customWidth="1"/>
    <col min="2" max="2" width="13.109375" bestFit="1" customWidth="1"/>
  </cols>
  <sheetData>
    <row r="1" spans="1:4" x14ac:dyDescent="0.3">
      <c r="A1" s="2" t="s">
        <v>0</v>
      </c>
      <c r="B1" s="2" t="s">
        <v>1</v>
      </c>
      <c r="C1" s="2" t="s">
        <v>21</v>
      </c>
      <c r="D1" s="2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sqref="A1:B1"/>
    </sheetView>
  </sheetViews>
  <sheetFormatPr defaultRowHeight="14.4" x14ac:dyDescent="0.3"/>
  <cols>
    <col min="1" max="1" width="16.5546875" bestFit="1" customWidth="1"/>
  </cols>
  <sheetData>
    <row r="1" spans="1:2" x14ac:dyDescent="0.3">
      <c r="A1" s="2" t="s">
        <v>23</v>
      </c>
      <c r="B1" s="2" t="s">
        <v>43</v>
      </c>
    </row>
    <row r="2" spans="1:2" x14ac:dyDescent="0.3">
      <c r="A2" s="1" t="s">
        <v>13</v>
      </c>
      <c r="B2" s="1">
        <f>800000</f>
        <v>800000</v>
      </c>
    </row>
    <row r="3" spans="1:2" x14ac:dyDescent="0.3">
      <c r="A3" s="1" t="s">
        <v>15</v>
      </c>
      <c r="B3" s="1">
        <f>350000</f>
        <v>350000</v>
      </c>
    </row>
    <row r="4" spans="1:2" x14ac:dyDescent="0.3">
      <c r="A4" s="1" t="s">
        <v>44</v>
      </c>
      <c r="B4" s="1">
        <f>B2-B3</f>
        <v>450000</v>
      </c>
    </row>
    <row r="5" spans="1:2" x14ac:dyDescent="0.3">
      <c r="A5" s="1" t="s">
        <v>17</v>
      </c>
      <c r="B5" s="1">
        <f>150000</f>
        <v>150000</v>
      </c>
    </row>
    <row r="6" spans="1:2" x14ac:dyDescent="0.3">
      <c r="A6" s="1" t="s">
        <v>45</v>
      </c>
      <c r="B6" s="1">
        <f>B4-B5</f>
        <v>300000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tabSelected="1" workbookViewId="0">
      <selection activeCell="C4" sqref="C4"/>
    </sheetView>
  </sheetViews>
  <sheetFormatPr defaultRowHeight="14.4" x14ac:dyDescent="0.3"/>
  <cols>
    <col min="1" max="1" width="17.88671875" bestFit="1" customWidth="1"/>
    <col min="3" max="3" width="17.33203125" bestFit="1" customWidth="1"/>
  </cols>
  <sheetData>
    <row r="1" spans="1:4" x14ac:dyDescent="0.3">
      <c r="A1" s="2" t="s">
        <v>46</v>
      </c>
      <c r="B1" s="2" t="s">
        <v>43</v>
      </c>
      <c r="C1" s="2" t="s">
        <v>47</v>
      </c>
      <c r="D1" s="2" t="s">
        <v>43</v>
      </c>
    </row>
    <row r="2" spans="1:4" x14ac:dyDescent="0.3">
      <c r="A2" s="1" t="s">
        <v>3</v>
      </c>
      <c r="B2" s="1">
        <f>2000000-150000</f>
        <v>1850000</v>
      </c>
      <c r="C2" s="1" t="s">
        <v>10</v>
      </c>
      <c r="D2" s="1">
        <f>2000000</f>
        <v>2000000</v>
      </c>
    </row>
    <row r="3" spans="1:4" x14ac:dyDescent="0.3">
      <c r="A3" s="1" t="s">
        <v>6</v>
      </c>
      <c r="B3" s="1">
        <f>150000</f>
        <v>150000</v>
      </c>
      <c r="C3" s="1" t="s">
        <v>8</v>
      </c>
      <c r="D3" s="1">
        <f>500000</f>
        <v>500000</v>
      </c>
    </row>
    <row r="4" spans="1:4" x14ac:dyDescent="0.3">
      <c r="A4" s="1" t="s">
        <v>5</v>
      </c>
      <c r="B4" s="1">
        <f>800000</f>
        <v>800000</v>
      </c>
      <c r="C4" s="1" t="s">
        <v>12</v>
      </c>
      <c r="D4" s="1">
        <f>B5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Chart_of_Accounts</vt:lpstr>
      <vt:lpstr>General_Ledger</vt:lpstr>
      <vt:lpstr>Trial_Balance</vt:lpstr>
      <vt:lpstr>Income_Statement</vt:lpstr>
      <vt:lpstr>Balance_Sheet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Chaitanya Rajguru</cp:lastModifiedBy>
  <dcterms:created xsi:type="dcterms:W3CDTF">2026-01-18T11:34:31Z</dcterms:created>
  <dcterms:modified xsi:type="dcterms:W3CDTF">2026-01-19T11:23:26Z</dcterms:modified>
</cp:coreProperties>
</file>