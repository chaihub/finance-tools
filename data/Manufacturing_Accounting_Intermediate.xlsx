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_of_Accounts" sheetId="1" state="visible" r:id="rId1"/>
    <sheet xmlns:r="http://schemas.openxmlformats.org/officeDocument/2006/relationships" name="General_Ledger" sheetId="2" state="visible" r:id="rId2"/>
    <sheet xmlns:r="http://schemas.openxmlformats.org/officeDocument/2006/relationships" name="Fixed_Assets" sheetId="3" state="visible" r:id="rId3"/>
    <sheet xmlns:r="http://schemas.openxmlformats.org/officeDocument/2006/relationships" name="Depreciation" sheetId="4" state="visible" r:id="rId4"/>
    <sheet xmlns:r="http://schemas.openxmlformats.org/officeDocument/2006/relationships" name="Inventory_Valuation" sheetId="5" state="visible" r:id="rId5"/>
    <sheet xmlns:r="http://schemas.openxmlformats.org/officeDocument/2006/relationships" name="GST_Summary" sheetId="6" state="visible" r:id="rId6"/>
    <sheet xmlns:r="http://schemas.openxmlformats.org/officeDocument/2006/relationships" name="Trial_Balance" sheetId="7" state="visible" r:id="rId7"/>
    <sheet xmlns:r="http://schemas.openxmlformats.org/officeDocument/2006/relationships" name="Income_Statement" sheetId="8" state="visible" r:id="rId8"/>
    <sheet xmlns:r="http://schemas.openxmlformats.org/officeDocument/2006/relationships" name="Balance_Sheet" sheetId="9" state="visible" r:id="rId9"/>
    <sheet xmlns:r="http://schemas.openxmlformats.org/officeDocument/2006/relationships" name="Cash_F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Type</t>
        </is>
      </c>
    </row>
    <row r="2">
      <c r="A2" t="n">
        <v>1000</v>
      </c>
      <c r="B2" t="inlineStr">
        <is>
          <t>Cash at Bank</t>
        </is>
      </c>
      <c r="C2" t="inlineStr">
        <is>
          <t>Asset</t>
        </is>
      </c>
    </row>
    <row r="3">
      <c r="A3" t="n">
        <v>1010</v>
      </c>
      <c r="B3" t="inlineStr">
        <is>
          <t>GST Input CGST</t>
        </is>
      </c>
      <c r="C3" t="inlineStr">
        <is>
          <t>Asset</t>
        </is>
      </c>
    </row>
    <row r="4">
      <c r="A4" t="n">
        <v>1020</v>
      </c>
      <c r="B4" t="inlineStr">
        <is>
          <t>GST Input SGST</t>
        </is>
      </c>
      <c r="C4" t="inlineStr">
        <is>
          <t>Asset</t>
        </is>
      </c>
    </row>
    <row r="5">
      <c r="A5" t="n">
        <v>1100</v>
      </c>
      <c r="B5" t="inlineStr">
        <is>
          <t>Accounts Receivable</t>
        </is>
      </c>
      <c r="C5" t="inlineStr">
        <is>
          <t>Asset</t>
        </is>
      </c>
    </row>
    <row r="6">
      <c r="A6" t="n">
        <v>1200</v>
      </c>
      <c r="B6" t="inlineStr">
        <is>
          <t>Raw Material Inventory</t>
        </is>
      </c>
      <c r="C6" t="inlineStr">
        <is>
          <t>Asset</t>
        </is>
      </c>
    </row>
    <row r="7">
      <c r="A7" t="n">
        <v>1210</v>
      </c>
      <c r="B7" t="inlineStr">
        <is>
          <t>Work in Progress</t>
        </is>
      </c>
      <c r="C7" t="inlineStr">
        <is>
          <t>Asset</t>
        </is>
      </c>
    </row>
    <row r="8">
      <c r="A8" t="n">
        <v>1220</v>
      </c>
      <c r="B8" t="inlineStr">
        <is>
          <t>Finished Goods Inventory</t>
        </is>
      </c>
      <c r="C8" t="inlineStr">
        <is>
          <t>Asset</t>
        </is>
      </c>
    </row>
    <row r="9">
      <c r="A9" t="n">
        <v>1500</v>
      </c>
      <c r="B9" t="inlineStr">
        <is>
          <t>Plant &amp; Machinery</t>
        </is>
      </c>
      <c r="C9" t="inlineStr">
        <is>
          <t>Asset</t>
        </is>
      </c>
    </row>
    <row r="10">
      <c r="A10" t="n">
        <v>1510</v>
      </c>
      <c r="B10" t="inlineStr">
        <is>
          <t>Accumulated Depreciation</t>
        </is>
      </c>
      <c r="C10" t="inlineStr">
        <is>
          <t>Contra Asset</t>
        </is>
      </c>
    </row>
    <row r="11">
      <c r="A11" t="n">
        <v>2000</v>
      </c>
      <c r="B11" t="inlineStr">
        <is>
          <t>Accounts Payable</t>
        </is>
      </c>
      <c r="C11" t="inlineStr">
        <is>
          <t>Liability</t>
        </is>
      </c>
    </row>
    <row r="12">
      <c r="A12" t="n">
        <v>2010</v>
      </c>
      <c r="B12" t="inlineStr">
        <is>
          <t>GST Output CGST</t>
        </is>
      </c>
      <c r="C12" t="inlineStr">
        <is>
          <t>Liability</t>
        </is>
      </c>
    </row>
    <row r="13">
      <c r="A13" t="n">
        <v>2020</v>
      </c>
      <c r="B13" t="inlineStr">
        <is>
          <t>GST Output SGST</t>
        </is>
      </c>
      <c r="C13" t="inlineStr">
        <is>
          <t>Liability</t>
        </is>
      </c>
    </row>
    <row r="14">
      <c r="A14" t="n">
        <v>2100</v>
      </c>
      <c r="B14" t="inlineStr">
        <is>
          <t>TDS Payable</t>
        </is>
      </c>
      <c r="C14" t="inlineStr">
        <is>
          <t>Liability</t>
        </is>
      </c>
    </row>
    <row r="15">
      <c r="A15" t="n">
        <v>3000</v>
      </c>
      <c r="B15" t="inlineStr">
        <is>
          <t>Equity Share Capital</t>
        </is>
      </c>
      <c r="C15" t="inlineStr">
        <is>
          <t>Equity</t>
        </is>
      </c>
    </row>
    <row r="16">
      <c r="A16" t="n">
        <v>3100</v>
      </c>
      <c r="B16" t="inlineStr">
        <is>
          <t>Retained Earnings</t>
        </is>
      </c>
      <c r="C16" t="inlineStr">
        <is>
          <t>Equity</t>
        </is>
      </c>
    </row>
    <row r="17">
      <c r="A17" t="n">
        <v>4000</v>
      </c>
      <c r="B17" t="inlineStr">
        <is>
          <t>Sales Revenue</t>
        </is>
      </c>
      <c r="C17" t="inlineStr">
        <is>
          <t>Revenue</t>
        </is>
      </c>
    </row>
    <row r="18">
      <c r="A18" t="n">
        <v>4100</v>
      </c>
      <c r="B18" t="inlineStr">
        <is>
          <t>Other Income</t>
        </is>
      </c>
      <c r="C18" t="inlineStr">
        <is>
          <t>Revenue</t>
        </is>
      </c>
    </row>
    <row r="19">
      <c r="A19" t="n">
        <v>5000</v>
      </c>
      <c r="B19" t="inlineStr">
        <is>
          <t>Cost of Raw Materials Consumed</t>
        </is>
      </c>
      <c r="C19" t="inlineStr">
        <is>
          <t>Expense</t>
        </is>
      </c>
    </row>
    <row r="20">
      <c r="A20" t="n">
        <v>5100</v>
      </c>
      <c r="B20" t="inlineStr">
        <is>
          <t>Direct Labour</t>
        </is>
      </c>
      <c r="C20" t="inlineStr">
        <is>
          <t>Expense</t>
        </is>
      </c>
    </row>
    <row r="21">
      <c r="A21" t="n">
        <v>5200</v>
      </c>
      <c r="B21" t="inlineStr">
        <is>
          <t>Factory Overheads</t>
        </is>
      </c>
      <c r="C21" t="inlineStr">
        <is>
          <t>Expense</t>
        </is>
      </c>
    </row>
    <row r="22">
      <c r="A22" t="n">
        <v>5300</v>
      </c>
      <c r="B22" t="inlineStr">
        <is>
          <t>Depreciation Expense</t>
        </is>
      </c>
      <c r="C22" t="inlineStr">
        <is>
          <t>Expense</t>
        </is>
      </c>
    </row>
    <row r="23">
      <c r="A23" t="n">
        <v>5400</v>
      </c>
      <c r="B23" t="inlineStr">
        <is>
          <t>Administrative Expenses</t>
        </is>
      </c>
      <c r="C23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</t>
        </is>
      </c>
      <c r="C1" t="inlineStr">
        <is>
          <t>Account Code</t>
        </is>
      </c>
      <c r="D1" t="inlineStr">
        <is>
          <t>Debit</t>
        </is>
      </c>
      <c r="E1" t="inlineStr">
        <is>
          <t>Credit</t>
        </is>
      </c>
      <c r="F1" t="inlineStr">
        <is>
          <t>Description</t>
        </is>
      </c>
    </row>
    <row r="2">
      <c r="A2" t="inlineStr">
        <is>
          <t>2025-04-01</t>
        </is>
      </c>
      <c r="B2" t="inlineStr">
        <is>
          <t>JV-001</t>
        </is>
      </c>
      <c r="C2" t="n">
        <v>1000</v>
      </c>
      <c r="D2" t="n">
        <v>5000000</v>
      </c>
      <c r="E2" t="n">
        <v>0</v>
      </c>
      <c r="F2" t="inlineStr">
        <is>
          <t>Capital introduced</t>
        </is>
      </c>
    </row>
    <row r="3">
      <c r="A3" t="inlineStr">
        <is>
          <t>2025-04-01</t>
        </is>
      </c>
      <c r="B3" t="inlineStr">
        <is>
          <t>JV-001</t>
        </is>
      </c>
      <c r="C3" t="n">
        <v>3000</v>
      </c>
      <c r="D3" t="n">
        <v>0</v>
      </c>
      <c r="E3" t="n">
        <v>5000000</v>
      </c>
      <c r="F3" t="inlineStr">
        <is>
          <t>Share capital</t>
        </is>
      </c>
    </row>
    <row r="4">
      <c r="A4" t="inlineStr">
        <is>
          <t>2025-04-05</t>
        </is>
      </c>
      <c r="B4" t="inlineStr">
        <is>
          <t>PV-001</t>
        </is>
      </c>
      <c r="C4" t="n">
        <v>1200</v>
      </c>
      <c r="D4" t="n">
        <v>1000000</v>
      </c>
      <c r="E4" t="n">
        <v>0</v>
      </c>
      <c r="F4" t="inlineStr">
        <is>
          <t>Raw material purchase</t>
        </is>
      </c>
    </row>
    <row r="5">
      <c r="A5" t="inlineStr">
        <is>
          <t>2025-04-05</t>
        </is>
      </c>
      <c r="B5" t="inlineStr">
        <is>
          <t>PV-001</t>
        </is>
      </c>
      <c r="C5" t="n">
        <v>1010</v>
      </c>
      <c r="D5" t="n">
        <v>90000</v>
      </c>
      <c r="E5" t="n">
        <v>0</v>
      </c>
      <c r="F5" t="inlineStr">
        <is>
          <t>Input CGST</t>
        </is>
      </c>
    </row>
    <row r="6">
      <c r="A6" t="inlineStr">
        <is>
          <t>2025-04-05</t>
        </is>
      </c>
      <c r="B6" t="inlineStr">
        <is>
          <t>PV-001</t>
        </is>
      </c>
      <c r="C6" t="n">
        <v>1020</v>
      </c>
      <c r="D6" t="n">
        <v>90000</v>
      </c>
      <c r="E6" t="n">
        <v>0</v>
      </c>
      <c r="F6" t="inlineStr">
        <is>
          <t>Input SGST</t>
        </is>
      </c>
    </row>
    <row r="7">
      <c r="A7" t="inlineStr">
        <is>
          <t>2025-04-05</t>
        </is>
      </c>
      <c r="B7" t="inlineStr">
        <is>
          <t>PV-001</t>
        </is>
      </c>
      <c r="C7" t="n">
        <v>2000</v>
      </c>
      <c r="D7" t="n">
        <v>0</v>
      </c>
      <c r="E7" t="n">
        <v>1180000</v>
      </c>
      <c r="F7" t="inlineStr">
        <is>
          <t>Vendor payable</t>
        </is>
      </c>
    </row>
    <row r="8">
      <c r="A8" t="inlineStr">
        <is>
          <t>2025-04-20</t>
        </is>
      </c>
      <c r="B8" t="inlineStr">
        <is>
          <t>SV-001</t>
        </is>
      </c>
      <c r="C8" t="n">
        <v>1100</v>
      </c>
      <c r="D8" t="n">
        <v>2000000</v>
      </c>
      <c r="E8" t="n">
        <v>0</v>
      </c>
      <c r="F8" t="inlineStr">
        <is>
          <t>Finished goods sale</t>
        </is>
      </c>
    </row>
    <row r="9">
      <c r="A9" t="inlineStr">
        <is>
          <t>2025-04-20</t>
        </is>
      </c>
      <c r="B9" t="inlineStr">
        <is>
          <t>SV-001</t>
        </is>
      </c>
      <c r="C9" t="n">
        <v>4000</v>
      </c>
      <c r="D9" t="n">
        <v>0</v>
      </c>
      <c r="E9" t="n">
        <v>1800000</v>
      </c>
      <c r="F9" t="inlineStr">
        <is>
          <t>Sales revenue</t>
        </is>
      </c>
    </row>
    <row r="10">
      <c r="A10" t="inlineStr">
        <is>
          <t>2025-04-20</t>
        </is>
      </c>
      <c r="B10" t="inlineStr">
        <is>
          <t>SV-001</t>
        </is>
      </c>
      <c r="C10" t="n">
        <v>2010</v>
      </c>
      <c r="D10" t="n">
        <v>0</v>
      </c>
      <c r="E10" t="n">
        <v>100000</v>
      </c>
      <c r="F10" t="inlineStr">
        <is>
          <t>Output CGST</t>
        </is>
      </c>
    </row>
    <row r="11">
      <c r="A11" t="inlineStr">
        <is>
          <t>2025-04-20</t>
        </is>
      </c>
      <c r="B11" t="inlineStr">
        <is>
          <t>SV-001</t>
        </is>
      </c>
      <c r="C11" t="n">
        <v>2020</v>
      </c>
      <c r="D11" t="n">
        <v>0</v>
      </c>
      <c r="E11" t="n">
        <v>100000</v>
      </c>
      <c r="F11" t="inlineStr">
        <is>
          <t>Output SGST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 Name</t>
        </is>
      </c>
      <c r="C1" t="inlineStr">
        <is>
          <t>Purchase Date</t>
        </is>
      </c>
      <c r="D1" t="inlineStr">
        <is>
          <t>Cost</t>
        </is>
      </c>
      <c r="E1" t="inlineStr">
        <is>
          <t>Useful Life (yrs)</t>
        </is>
      </c>
      <c r="F1" t="inlineStr">
        <is>
          <t>Depreciation Method</t>
        </is>
      </c>
      <c r="G1" t="inlineStr">
        <is>
          <t>Annual Depreciation</t>
        </is>
      </c>
    </row>
    <row r="2">
      <c r="A2" t="inlineStr">
        <is>
          <t>FA-01</t>
        </is>
      </c>
      <c r="B2" t="inlineStr">
        <is>
          <t>CNC Machine</t>
        </is>
      </c>
      <c r="C2" t="inlineStr">
        <is>
          <t>2025-04-01</t>
        </is>
      </c>
      <c r="D2" t="n">
        <v>2000000</v>
      </c>
      <c r="E2" t="n">
        <v>10</v>
      </c>
      <c r="F2" t="inlineStr">
        <is>
          <t>SLM</t>
        </is>
      </c>
      <c r="G2">
        <f>D2/E2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Opening WDV</t>
        </is>
      </c>
      <c r="C1" t="inlineStr">
        <is>
          <t>Depreciation</t>
        </is>
      </c>
      <c r="D1" t="inlineStr">
        <is>
          <t>Closing WDV</t>
        </is>
      </c>
    </row>
    <row r="2">
      <c r="A2" t="inlineStr">
        <is>
          <t>FY 2025-26</t>
        </is>
      </c>
      <c r="B2" t="n">
        <v>2000000</v>
      </c>
      <c r="C2">
        <f>B2/10</f>
        <v/>
      </c>
      <c r="D2">
        <f>B2-C2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Opening Qty</t>
        </is>
      </c>
      <c r="C1" t="inlineStr">
        <is>
          <t>Purchases Qty</t>
        </is>
      </c>
      <c r="D1" t="inlineStr">
        <is>
          <t>Consumption Qty</t>
        </is>
      </c>
      <c r="E1" t="inlineStr">
        <is>
          <t>Closing Qty</t>
        </is>
      </c>
      <c r="F1" t="inlineStr">
        <is>
          <t>Rate</t>
        </is>
      </c>
      <c r="G1" t="inlineStr">
        <is>
          <t>Value</t>
        </is>
      </c>
    </row>
    <row r="2">
      <c r="A2" t="inlineStr">
        <is>
          <t>Steel Sheets</t>
        </is>
      </c>
      <c r="B2" t="n">
        <v>0</v>
      </c>
      <c r="C2" t="n">
        <v>1000</v>
      </c>
      <c r="D2" t="n">
        <v>700</v>
      </c>
      <c r="E2">
        <f>C2-D2</f>
        <v/>
      </c>
      <c r="F2" t="n">
        <v>1000</v>
      </c>
      <c r="G2">
        <f>E2*F2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Input</t>
        </is>
      </c>
      <c r="C1" t="inlineStr">
        <is>
          <t>Output</t>
        </is>
      </c>
      <c r="D1" t="inlineStr">
        <is>
          <t>Net Payable</t>
        </is>
      </c>
    </row>
    <row r="2">
      <c r="A2" t="inlineStr">
        <is>
          <t>CGST</t>
        </is>
      </c>
      <c r="B2" t="n">
        <v>90000</v>
      </c>
      <c r="C2" t="n">
        <v>100000</v>
      </c>
      <c r="D2">
        <f>C2-B2</f>
        <v/>
      </c>
    </row>
    <row r="3">
      <c r="A3" t="inlineStr">
        <is>
          <t>SGST</t>
        </is>
      </c>
      <c r="B3" t="n">
        <v>90000</v>
      </c>
      <c r="C3" t="n">
        <v>100000</v>
      </c>
      <c r="D3">
        <f>C3-B3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Sales Revenue</t>
        </is>
      </c>
      <c r="B2">
        <f>1800000</f>
        <v/>
      </c>
    </row>
    <row r="3">
      <c r="A3" t="inlineStr">
        <is>
          <t>Cost of Raw Materials Consumed</t>
        </is>
      </c>
      <c r="B3">
        <f>700000</f>
        <v/>
      </c>
    </row>
    <row r="4">
      <c r="A4" t="inlineStr">
        <is>
          <t>Gross Profit</t>
        </is>
      </c>
      <c r="B4">
        <f>B2-B3</f>
        <v/>
      </c>
    </row>
    <row r="5">
      <c r="A5" t="inlineStr">
        <is>
          <t>Depreciation</t>
        </is>
      </c>
      <c r="B5">
        <f>200000</f>
        <v/>
      </c>
    </row>
    <row r="6">
      <c r="A6" t="inlineStr">
        <is>
          <t>Administrative Expenses</t>
        </is>
      </c>
      <c r="B6">
        <f>100000</f>
        <v/>
      </c>
    </row>
    <row r="7">
      <c r="A7" t="inlineStr">
        <is>
          <t>Net Profit</t>
        </is>
      </c>
      <c r="B7">
        <f>B4-B5-B6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Amount</t>
        </is>
      </c>
      <c r="C1" t="inlineStr">
        <is>
          <t>Liabilities &amp; Equity</t>
        </is>
      </c>
      <c r="D1" t="inlineStr">
        <is>
          <t>Amount</t>
        </is>
      </c>
    </row>
    <row r="2">
      <c r="A2" t="inlineStr">
        <is>
          <t>Cash &amp; Bank</t>
        </is>
      </c>
      <c r="B2">
        <f>5000000-1180000</f>
        <v/>
      </c>
      <c r="C2" t="inlineStr">
        <is>
          <t>Equity Share Capital</t>
        </is>
      </c>
      <c r="D2">
        <f>5000000</f>
        <v/>
      </c>
    </row>
    <row r="3">
      <c r="A3" t="inlineStr">
        <is>
          <t>Inventory</t>
        </is>
      </c>
      <c r="B3">
        <f>300000</f>
        <v/>
      </c>
      <c r="C3" t="inlineStr">
        <is>
          <t>GST Payable</t>
        </is>
      </c>
      <c r="D3">
        <f>20000</f>
        <v/>
      </c>
    </row>
    <row r="4">
      <c r="A4" t="inlineStr">
        <is>
          <t>Plant &amp; Machinery (Net)</t>
        </is>
      </c>
      <c r="B4">
        <f>1800000</f>
        <v/>
      </c>
      <c r="C4" t="inlineStr">
        <is>
          <t>Retained Earnings</t>
        </is>
      </c>
      <c r="D4">
        <f>B7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Net Profit</t>
        </is>
      </c>
      <c r="B2">
        <f>Income_Statement!B7</f>
        <v/>
      </c>
    </row>
    <row r="3">
      <c r="A3" t="inlineStr">
        <is>
          <t>Add: Depreciation</t>
        </is>
      </c>
      <c r="B3">
        <f>200000</f>
        <v/>
      </c>
    </row>
    <row r="4">
      <c r="A4" t="inlineStr">
        <is>
          <t>Operating Cash Flow</t>
        </is>
      </c>
      <c r="B4">
        <f>B2+B3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2026-01-18T11:40:35Z</dcterms:created>
  <dcterms:modified xmlns:dcterms="http://purl.org/dc/terms/" xmlns:xsi="http://www.w3.org/2001/XMLSchema-instance" xsi:type="dcterms:W3CDTF">2026-01-18T11:40:35Z</dcterms:modified>
</cp:coreProperties>
</file>